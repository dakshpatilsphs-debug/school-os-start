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5655" windowHeight="8970"/>
  </bookViews>
  <sheets>
    <sheet name="Sheet2" sheetId="2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H94" i="2"/>
  <c r="K80" s="1"/>
  <c r="E94"/>
  <c r="B94"/>
  <c r="O15"/>
  <c r="Q21"/>
  <c r="P7"/>
  <c r="O69"/>
  <c r="O41"/>
  <c r="P15"/>
  <c r="L15"/>
  <c r="K94" l="1"/>
  <c r="E96"/>
  <c r="G100" s="1"/>
</calcChain>
</file>

<file path=xl/sharedStrings.xml><?xml version="1.0" encoding="utf-8"?>
<sst xmlns="http://schemas.openxmlformats.org/spreadsheetml/2006/main" count="67" uniqueCount="64">
  <si>
    <t>Total fees</t>
  </si>
  <si>
    <t>Total Fees</t>
  </si>
  <si>
    <t>Tea</t>
  </si>
  <si>
    <t>Auto Expence</t>
  </si>
  <si>
    <t>Total Expence</t>
  </si>
  <si>
    <t>Receipt No</t>
  </si>
  <si>
    <t xml:space="preserve">Amt </t>
  </si>
  <si>
    <t>Collection from Parents</t>
  </si>
  <si>
    <t>Report For Fees Collection and Expence Report</t>
  </si>
  <si>
    <t>SAVITA BORSE May Salary</t>
  </si>
  <si>
    <t>URMIL VILAS PAWAR</t>
  </si>
  <si>
    <t>KANCHAN AVINASH DESHMUKH</t>
  </si>
  <si>
    <t>JAYA JAGANNATH PATIL</t>
  </si>
  <si>
    <t>JYOTI SRIRAM  PAWAR</t>
  </si>
  <si>
    <t xml:space="preserve">Available Balance </t>
  </si>
  <si>
    <t>Stationery</t>
  </si>
  <si>
    <t>Medical Kit</t>
  </si>
  <si>
    <t>Seva Super Shoppy</t>
  </si>
  <si>
    <t>Archana Patil</t>
  </si>
  <si>
    <t>salary calculation</t>
  </si>
  <si>
    <t>total salary</t>
  </si>
  <si>
    <t>Pdays</t>
  </si>
  <si>
    <t>Totaldays</t>
  </si>
  <si>
    <t>June month Tea</t>
  </si>
  <si>
    <t>Hari om</t>
  </si>
  <si>
    <t>Archana Patil June Salary</t>
  </si>
  <si>
    <t>jaya patil</t>
  </si>
  <si>
    <t>Jyoti Pawar</t>
  </si>
  <si>
    <t>Kanchan Deshmukh</t>
  </si>
  <si>
    <t>Savita Badgujar</t>
  </si>
  <si>
    <t>Sunita Patil</t>
  </si>
  <si>
    <t>Urmila Pawar</t>
  </si>
  <si>
    <t>nilesh book depo</t>
  </si>
  <si>
    <t>Speker Rent For Programe</t>
  </si>
  <si>
    <t xml:space="preserve">Cake for sunita patil </t>
  </si>
  <si>
    <t>SAKSHI PATIL</t>
  </si>
  <si>
    <t>VAISHANAVI PATIL</t>
  </si>
  <si>
    <t>SIDDHI PATIL</t>
  </si>
  <si>
    <t>JYOTI SHRIRAM PAWAR</t>
  </si>
  <si>
    <t>SUNITA KIRAN PATIL</t>
  </si>
  <si>
    <t>URMILA VILAS PAWAR</t>
  </si>
  <si>
    <t>ARCHANA RAVINDRA PATIL</t>
  </si>
  <si>
    <t>Tea store</t>
  </si>
  <si>
    <t>2,34,723</t>
  </si>
  <si>
    <t>Nilesh Book Depo Carben</t>
  </si>
  <si>
    <t xml:space="preserve">Shri Krishna Provision </t>
  </si>
  <si>
    <t>hari home Kids Corner</t>
  </si>
  <si>
    <t>Radhe Boket Centre</t>
  </si>
  <si>
    <t>Om xerox</t>
  </si>
  <si>
    <t>Nidhi Infotech</t>
  </si>
  <si>
    <t>Chocalet Seva Mart</t>
  </si>
  <si>
    <t xml:space="preserve">Nilesh Book Depo </t>
  </si>
  <si>
    <t>Bappu</t>
  </si>
  <si>
    <t>aaba</t>
  </si>
  <si>
    <t>ration</t>
  </si>
  <si>
    <t>trip</t>
  </si>
  <si>
    <t xml:space="preserve">nidhi info tech </t>
  </si>
  <si>
    <t xml:space="preserve">ndhi infotech </t>
  </si>
  <si>
    <t>janmastmi matki</t>
  </si>
  <si>
    <t>SEVA SUPER MART (GIFT FOR JANMASTAMI)</t>
  </si>
  <si>
    <t>SEVA SUPER MART (FOR GANPATI)</t>
  </si>
  <si>
    <t>SEVA SUPER TEACHER DAY GIFTS</t>
  </si>
  <si>
    <t xml:space="preserve">TEA </t>
  </si>
  <si>
    <t xml:space="preserve">GANPATI MURTI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</si>
</sst>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1" fillId="0" borderId="0" xfId="0" applyFont="1" applyAlignment="1"/>
    <xf numFmtId="43" fontId="1" fillId="0" borderId="0" xfId="1" applyFont="1" applyAlignment="1"/>
    <xf numFmtId="0" fontId="0" fillId="3" borderId="0" xfId="0" applyFill="1" applyAlignment="1">
      <alignment horizontal="center"/>
    </xf>
    <xf numFmtId="43" fontId="0" fillId="3" borderId="0" xfId="1" applyFont="1" applyFill="1" applyAlignment="1">
      <alignment horizontal="center"/>
    </xf>
    <xf numFmtId="0" fontId="1" fillId="3" borderId="0" xfId="0" applyFont="1" applyFill="1" applyAlignment="1"/>
    <xf numFmtId="43" fontId="1" fillId="3" borderId="0" xfId="1" applyFont="1" applyFill="1" applyAlignment="1"/>
    <xf numFmtId="43" fontId="0" fillId="4" borderId="0" xfId="1" applyFont="1" applyFill="1"/>
    <xf numFmtId="0" fontId="0" fillId="5" borderId="0" xfId="0" applyFill="1"/>
    <xf numFmtId="0" fontId="0" fillId="5" borderId="0" xfId="0" applyFill="1" applyAlignment="1">
      <alignment horizontal="center"/>
    </xf>
    <xf numFmtId="43" fontId="0" fillId="5" borderId="0" xfId="1" applyFont="1" applyFill="1"/>
    <xf numFmtId="0" fontId="1" fillId="6" borderId="0" xfId="0" applyFont="1" applyFill="1" applyAlignment="1">
      <alignment horizontal="center"/>
    </xf>
    <xf numFmtId="43" fontId="1" fillId="6" borderId="0" xfId="1" applyFont="1" applyFill="1" applyAlignment="1">
      <alignment horizontal="center"/>
    </xf>
    <xf numFmtId="0" fontId="1" fillId="6" borderId="0" xfId="0" applyFont="1" applyFill="1"/>
    <xf numFmtId="43" fontId="1" fillId="6" borderId="0" xfId="1" applyFont="1" applyFill="1"/>
    <xf numFmtId="0" fontId="0" fillId="6" borderId="0" xfId="0" applyFill="1"/>
    <xf numFmtId="43" fontId="3" fillId="2" borderId="0" xfId="0" applyNumberFormat="1" applyFont="1" applyFill="1" applyAlignment="1"/>
    <xf numFmtId="0" fontId="3" fillId="2" borderId="0" xfId="0" applyFont="1" applyFill="1" applyAlignment="1"/>
    <xf numFmtId="43" fontId="0" fillId="0" borderId="0" xfId="0" applyNumberFormat="1"/>
    <xf numFmtId="0" fontId="0" fillId="2" borderId="0" xfId="0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0" borderId="0" xfId="0" applyNumberFormat="1"/>
    <xf numFmtId="43" fontId="3" fillId="2" borderId="0" xfId="1" applyFont="1" applyFill="1" applyAlignme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0" fillId="3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4"/>
  <sheetViews>
    <sheetView tabSelected="1" topLeftCell="A43" workbookViewId="0">
      <selection activeCell="H59" sqref="H59"/>
    </sheetView>
  </sheetViews>
  <sheetFormatPr defaultRowHeight="15"/>
  <cols>
    <col min="1" max="1" width="11.28515625" style="1" customWidth="1"/>
    <col min="2" max="2" width="11.5703125" style="3" bestFit="1" customWidth="1"/>
    <col min="3" max="3" width="3.85546875" style="10" customWidth="1"/>
    <col min="4" max="4" width="13.28515625" bestFit="1" customWidth="1"/>
    <col min="5" max="5" width="12.7109375" bestFit="1" customWidth="1"/>
    <col min="6" max="6" width="4.140625" style="10" customWidth="1"/>
    <col min="7" max="7" width="40.28515625" bestFit="1" customWidth="1"/>
    <col min="8" max="8" width="11.5703125" style="2" bestFit="1" customWidth="1"/>
    <col min="11" max="11" width="16.28515625" bestFit="1" customWidth="1"/>
    <col min="12" max="12" width="10.5703125" bestFit="1" customWidth="1"/>
  </cols>
  <sheetData>
    <row r="1" spans="1:16" ht="15.75">
      <c r="A1" s="27" t="s">
        <v>8</v>
      </c>
      <c r="B1" s="27"/>
      <c r="C1" s="27"/>
      <c r="D1" s="27"/>
      <c r="E1" s="27"/>
      <c r="F1" s="27"/>
      <c r="G1" s="27"/>
      <c r="H1" s="27"/>
      <c r="M1">
        <v>15600</v>
      </c>
    </row>
    <row r="2" spans="1:16">
      <c r="M2">
        <v>8000</v>
      </c>
    </row>
    <row r="3" spans="1:16">
      <c r="A3" s="6" t="s">
        <v>5</v>
      </c>
      <c r="B3" s="7" t="s">
        <v>6</v>
      </c>
      <c r="C3" s="11"/>
      <c r="D3" s="29" t="s">
        <v>7</v>
      </c>
      <c r="E3" s="29"/>
      <c r="F3" s="11"/>
      <c r="G3" s="8" t="s">
        <v>4</v>
      </c>
      <c r="H3" s="9"/>
    </row>
    <row r="4" spans="1:16">
      <c r="C4" s="11"/>
      <c r="D4" s="1"/>
      <c r="E4" s="1"/>
      <c r="F4" s="11"/>
      <c r="G4" s="4"/>
      <c r="H4" s="5"/>
    </row>
    <row r="5" spans="1:16">
      <c r="A5" s="1">
        <v>101</v>
      </c>
      <c r="B5" s="3">
        <v>5000</v>
      </c>
      <c r="C5" s="11"/>
      <c r="E5" s="2"/>
      <c r="F5" s="12"/>
      <c r="G5" t="s">
        <v>3</v>
      </c>
      <c r="H5" s="2">
        <v>1000</v>
      </c>
    </row>
    <row r="6" spans="1:16">
      <c r="A6" s="1">
        <v>102</v>
      </c>
      <c r="B6" s="3">
        <v>4000</v>
      </c>
      <c r="C6" s="11"/>
      <c r="E6" s="2"/>
      <c r="F6" s="11"/>
      <c r="G6" t="s">
        <v>2</v>
      </c>
      <c r="H6" s="2">
        <v>200</v>
      </c>
      <c r="P6">
        <v>66</v>
      </c>
    </row>
    <row r="7" spans="1:16">
      <c r="A7" s="1">
        <v>103</v>
      </c>
      <c r="B7" s="3">
        <v>2000</v>
      </c>
      <c r="C7" s="11"/>
      <c r="E7" s="2"/>
      <c r="F7" s="11"/>
      <c r="G7" s="22" t="s">
        <v>9</v>
      </c>
      <c r="H7" s="2">
        <v>3923</v>
      </c>
      <c r="I7">
        <v>6000</v>
      </c>
      <c r="P7">
        <f>P6*200</f>
        <v>13200</v>
      </c>
    </row>
    <row r="8" spans="1:16">
      <c r="A8" s="1">
        <v>104</v>
      </c>
      <c r="B8" s="3">
        <v>1000</v>
      </c>
      <c r="C8" s="11"/>
      <c r="E8" s="2"/>
      <c r="F8" s="13"/>
      <c r="G8" t="s">
        <v>10</v>
      </c>
      <c r="H8" s="2">
        <v>4153</v>
      </c>
      <c r="I8">
        <v>6000</v>
      </c>
    </row>
    <row r="9" spans="1:16">
      <c r="A9" s="1">
        <v>105</v>
      </c>
      <c r="B9" s="3">
        <v>5000</v>
      </c>
      <c r="C9" s="11"/>
      <c r="E9" s="2"/>
      <c r="F9" s="13"/>
      <c r="G9" t="s">
        <v>11</v>
      </c>
      <c r="H9" s="2">
        <v>3692</v>
      </c>
      <c r="I9">
        <v>6000</v>
      </c>
    </row>
    <row r="10" spans="1:16">
      <c r="A10" s="1">
        <v>106</v>
      </c>
      <c r="B10" s="3">
        <v>11400</v>
      </c>
      <c r="C10" s="11"/>
      <c r="E10" s="2"/>
      <c r="F10" s="11"/>
      <c r="G10" s="22" t="s">
        <v>12</v>
      </c>
      <c r="H10" s="23">
        <v>4923</v>
      </c>
      <c r="I10">
        <v>8000</v>
      </c>
      <c r="K10" t="s">
        <v>19</v>
      </c>
    </row>
    <row r="11" spans="1:16">
      <c r="A11" s="1">
        <v>107</v>
      </c>
      <c r="B11" s="3">
        <v>4000</v>
      </c>
      <c r="C11" s="11"/>
      <c r="E11" s="2"/>
      <c r="F11" s="11"/>
      <c r="G11" s="22" t="s">
        <v>13</v>
      </c>
      <c r="H11" s="23">
        <v>6923</v>
      </c>
      <c r="I11">
        <v>10000</v>
      </c>
    </row>
    <row r="12" spans="1:16">
      <c r="A12" s="1">
        <v>108</v>
      </c>
      <c r="B12" s="3">
        <v>5000</v>
      </c>
      <c r="C12" s="11"/>
      <c r="E12" s="2"/>
      <c r="F12" s="11"/>
      <c r="G12" t="s">
        <v>15</v>
      </c>
      <c r="H12" s="2">
        <v>1900</v>
      </c>
      <c r="K12" t="s">
        <v>20</v>
      </c>
      <c r="L12" t="s">
        <v>22</v>
      </c>
      <c r="M12" t="s">
        <v>21</v>
      </c>
    </row>
    <row r="13" spans="1:16">
      <c r="A13" s="1">
        <v>109</v>
      </c>
      <c r="B13" s="3">
        <v>5000</v>
      </c>
      <c r="C13" s="11"/>
      <c r="E13" s="2"/>
      <c r="F13" s="11"/>
      <c r="G13" t="s">
        <v>16</v>
      </c>
      <c r="H13" s="2">
        <v>384</v>
      </c>
      <c r="K13">
        <v>8000</v>
      </c>
      <c r="L13">
        <v>26</v>
      </c>
      <c r="M13">
        <v>24</v>
      </c>
    </row>
    <row r="14" spans="1:16">
      <c r="A14" s="1">
        <v>110</v>
      </c>
      <c r="B14" s="3">
        <v>4000</v>
      </c>
      <c r="C14" s="11"/>
      <c r="E14" s="2"/>
      <c r="F14" s="11"/>
      <c r="G14" t="s">
        <v>17</v>
      </c>
      <c r="H14" s="2">
        <v>165</v>
      </c>
      <c r="P14">
        <v>84100</v>
      </c>
    </row>
    <row r="15" spans="1:16">
      <c r="A15" s="1">
        <v>111</v>
      </c>
      <c r="B15" s="3">
        <v>3000</v>
      </c>
      <c r="C15" s="11"/>
      <c r="D15">
        <v>500</v>
      </c>
      <c r="E15" s="2">
        <v>30000</v>
      </c>
      <c r="F15" s="11"/>
      <c r="G15" t="s">
        <v>18</v>
      </c>
      <c r="H15" s="2">
        <v>23384</v>
      </c>
      <c r="L15">
        <f>K13/L13*M13</f>
        <v>7384.6153846153848</v>
      </c>
      <c r="O15">
        <f>L15-260</f>
        <v>7124.6153846153848</v>
      </c>
      <c r="P15">
        <f>P14-300</f>
        <v>83800</v>
      </c>
    </row>
    <row r="16" spans="1:16">
      <c r="A16" s="1">
        <v>112</v>
      </c>
      <c r="B16" s="3">
        <v>1000</v>
      </c>
      <c r="C16" s="11"/>
      <c r="D16">
        <v>100</v>
      </c>
      <c r="E16" s="2">
        <v>10000</v>
      </c>
      <c r="F16" s="11"/>
    </row>
    <row r="17" spans="1:17">
      <c r="A17" s="1">
        <v>113</v>
      </c>
      <c r="B17" s="3">
        <v>4000</v>
      </c>
      <c r="C17" s="11"/>
      <c r="D17">
        <v>200</v>
      </c>
      <c r="E17" s="2">
        <v>20000</v>
      </c>
      <c r="F17" s="11"/>
      <c r="G17" t="s">
        <v>23</v>
      </c>
      <c r="H17" s="2">
        <v>410</v>
      </c>
    </row>
    <row r="18" spans="1:17">
      <c r="A18" s="1">
        <v>114</v>
      </c>
      <c r="B18" s="3">
        <v>4000</v>
      </c>
      <c r="C18" s="11"/>
      <c r="F18" s="11"/>
      <c r="G18" t="s">
        <v>24</v>
      </c>
      <c r="H18" s="2">
        <v>290</v>
      </c>
    </row>
    <row r="19" spans="1:17">
      <c r="A19" s="1">
        <v>115</v>
      </c>
      <c r="B19" s="3">
        <v>5000</v>
      </c>
      <c r="C19" s="11"/>
      <c r="E19" s="2"/>
      <c r="F19" s="11"/>
      <c r="G19" t="s">
        <v>25</v>
      </c>
      <c r="H19" s="2">
        <v>38000</v>
      </c>
      <c r="Q19">
        <v>23600</v>
      </c>
    </row>
    <row r="20" spans="1:17">
      <c r="A20" s="1">
        <v>116</v>
      </c>
      <c r="B20" s="3">
        <v>4000</v>
      </c>
      <c r="C20" s="11"/>
      <c r="E20" s="2"/>
      <c r="F20" s="11"/>
      <c r="G20" t="s">
        <v>26</v>
      </c>
      <c r="H20" s="2">
        <v>8000</v>
      </c>
      <c r="Q20">
        <v>22400</v>
      </c>
    </row>
    <row r="21" spans="1:17">
      <c r="A21" s="1">
        <v>117</v>
      </c>
      <c r="B21" s="3">
        <v>5000</v>
      </c>
      <c r="C21" s="11"/>
      <c r="E21" s="2"/>
      <c r="F21" s="11"/>
      <c r="G21" t="s">
        <v>27</v>
      </c>
      <c r="H21" s="2">
        <v>10000</v>
      </c>
      <c r="L21">
        <v>15600</v>
      </c>
      <c r="Q21">
        <f>Q19-Q20</f>
        <v>1200</v>
      </c>
    </row>
    <row r="22" spans="1:17">
      <c r="A22" s="1">
        <v>118</v>
      </c>
      <c r="B22" s="3">
        <v>6000</v>
      </c>
      <c r="C22" s="11"/>
      <c r="E22" s="2"/>
      <c r="F22" s="11"/>
      <c r="G22" t="s">
        <v>28</v>
      </c>
      <c r="H22" s="2">
        <v>8000</v>
      </c>
    </row>
    <row r="23" spans="1:17">
      <c r="A23" s="1">
        <v>119</v>
      </c>
      <c r="B23" s="3">
        <v>2000</v>
      </c>
      <c r="C23" s="11"/>
      <c r="E23" s="2"/>
      <c r="F23" s="11"/>
      <c r="G23" t="s">
        <v>29</v>
      </c>
      <c r="H23" s="2">
        <v>4500</v>
      </c>
      <c r="L23">
        <v>13200</v>
      </c>
    </row>
    <row r="24" spans="1:17">
      <c r="A24" s="1">
        <v>120</v>
      </c>
      <c r="B24" s="3">
        <v>4000</v>
      </c>
      <c r="C24" s="11"/>
      <c r="E24" s="2"/>
      <c r="F24" s="11"/>
      <c r="G24" t="s">
        <v>30</v>
      </c>
      <c r="H24" s="2">
        <v>6000</v>
      </c>
      <c r="L24">
        <v>2400</v>
      </c>
    </row>
    <row r="25" spans="1:17">
      <c r="A25" s="1">
        <v>121</v>
      </c>
      <c r="B25" s="3">
        <v>3000</v>
      </c>
      <c r="C25" s="11"/>
      <c r="E25" s="2"/>
      <c r="F25" s="11"/>
      <c r="G25" t="s">
        <v>31</v>
      </c>
      <c r="H25" s="2">
        <v>9000</v>
      </c>
    </row>
    <row r="26" spans="1:17">
      <c r="A26" s="1">
        <v>122</v>
      </c>
      <c r="B26" s="3">
        <v>2000</v>
      </c>
      <c r="C26" s="11"/>
      <c r="E26" s="2"/>
      <c r="F26" s="11"/>
      <c r="G26" t="s">
        <v>32</v>
      </c>
      <c r="H26" s="2">
        <v>170</v>
      </c>
    </row>
    <row r="27" spans="1:17">
      <c r="A27" s="1">
        <v>123</v>
      </c>
      <c r="B27" s="3">
        <v>3000</v>
      </c>
      <c r="C27" s="11"/>
      <c r="E27" s="2"/>
      <c r="F27" s="11"/>
      <c r="G27" t="s">
        <v>34</v>
      </c>
      <c r="H27" s="2">
        <v>250</v>
      </c>
    </row>
    <row r="28" spans="1:17">
      <c r="A28" s="1">
        <v>124</v>
      </c>
      <c r="B28" s="3">
        <v>2000</v>
      </c>
      <c r="C28" s="11"/>
      <c r="E28" s="2"/>
      <c r="F28" s="11"/>
      <c r="G28" t="s">
        <v>33</v>
      </c>
      <c r="H28" s="2">
        <v>1000</v>
      </c>
    </row>
    <row r="29" spans="1:17">
      <c r="A29" s="1">
        <v>125</v>
      </c>
      <c r="C29" s="11"/>
      <c r="E29" s="2"/>
      <c r="F29" s="11"/>
      <c r="G29" s="25" t="s">
        <v>38</v>
      </c>
      <c r="H29" s="2">
        <v>9480</v>
      </c>
    </row>
    <row r="30" spans="1:17">
      <c r="A30" s="1">
        <v>126</v>
      </c>
      <c r="B30" s="3">
        <v>3000</v>
      </c>
      <c r="C30" s="11"/>
      <c r="E30" s="2"/>
      <c r="F30" s="11"/>
      <c r="G30" s="25" t="s">
        <v>41</v>
      </c>
      <c r="H30" s="2">
        <v>37740</v>
      </c>
    </row>
    <row r="31" spans="1:17">
      <c r="A31" s="1">
        <v>127</v>
      </c>
      <c r="B31" s="3">
        <v>5000</v>
      </c>
      <c r="C31" s="11"/>
      <c r="E31" s="2"/>
      <c r="F31" s="11"/>
      <c r="G31" s="25" t="s">
        <v>12</v>
      </c>
      <c r="H31" s="2">
        <v>7480</v>
      </c>
    </row>
    <row r="32" spans="1:17">
      <c r="A32" s="1">
        <v>128</v>
      </c>
      <c r="B32" s="3">
        <v>5000</v>
      </c>
      <c r="C32" s="11"/>
      <c r="E32" s="2"/>
      <c r="F32" s="11"/>
      <c r="G32" s="25" t="s">
        <v>11</v>
      </c>
      <c r="H32" s="2">
        <v>7125</v>
      </c>
    </row>
    <row r="33" spans="1:16">
      <c r="A33" s="1">
        <v>129</v>
      </c>
      <c r="B33" s="3">
        <v>5000</v>
      </c>
      <c r="C33" s="11"/>
      <c r="E33" s="2"/>
      <c r="F33" s="11"/>
      <c r="G33" s="25" t="s">
        <v>35</v>
      </c>
      <c r="H33" s="2">
        <v>3249</v>
      </c>
    </row>
    <row r="34" spans="1:16">
      <c r="A34" s="1">
        <v>130</v>
      </c>
      <c r="B34" s="3">
        <v>6000</v>
      </c>
      <c r="C34" s="11"/>
      <c r="E34" s="2"/>
      <c r="F34" s="11"/>
      <c r="G34" s="25" t="s">
        <v>37</v>
      </c>
      <c r="H34" s="2">
        <v>8480</v>
      </c>
    </row>
    <row r="35" spans="1:16">
      <c r="A35" s="1">
        <v>131</v>
      </c>
      <c r="B35" s="3">
        <v>3000</v>
      </c>
      <c r="C35" s="11"/>
      <c r="E35" s="2"/>
      <c r="F35" s="11"/>
      <c r="G35" s="25" t="s">
        <v>39</v>
      </c>
      <c r="H35" s="2">
        <v>5480</v>
      </c>
    </row>
    <row r="36" spans="1:16">
      <c r="A36" s="1">
        <v>132</v>
      </c>
      <c r="B36" s="3">
        <v>3000</v>
      </c>
      <c r="C36" s="11"/>
      <c r="E36" s="2"/>
      <c r="F36" s="11"/>
      <c r="G36" s="25" t="s">
        <v>40</v>
      </c>
      <c r="H36" s="2">
        <v>8740</v>
      </c>
    </row>
    <row r="37" spans="1:16">
      <c r="A37" s="1">
        <v>133</v>
      </c>
      <c r="B37" s="3">
        <v>7000</v>
      </c>
      <c r="C37" s="11"/>
      <c r="E37" s="2"/>
      <c r="F37" s="11"/>
      <c r="G37" s="25" t="s">
        <v>36</v>
      </c>
      <c r="H37" s="2">
        <v>8480</v>
      </c>
    </row>
    <row r="38" spans="1:16">
      <c r="A38" s="1">
        <v>134</v>
      </c>
      <c r="B38" s="3">
        <v>4000</v>
      </c>
      <c r="C38" s="11"/>
      <c r="E38" s="2"/>
      <c r="F38" s="11"/>
    </row>
    <row r="39" spans="1:16">
      <c r="A39" s="1">
        <v>135</v>
      </c>
      <c r="B39" s="3">
        <v>4000</v>
      </c>
      <c r="C39" s="11"/>
      <c r="E39" s="2"/>
      <c r="F39" s="11"/>
      <c r="G39" t="s">
        <v>42</v>
      </c>
      <c r="H39" s="2">
        <v>2200</v>
      </c>
    </row>
    <row r="40" spans="1:16">
      <c r="A40" s="1">
        <v>136</v>
      </c>
      <c r="B40" s="3">
        <v>5000</v>
      </c>
      <c r="C40" s="11"/>
      <c r="E40" s="2"/>
      <c r="F40" s="11"/>
    </row>
    <row r="41" spans="1:16">
      <c r="A41" s="1">
        <v>137</v>
      </c>
      <c r="B41" s="3">
        <v>4000</v>
      </c>
      <c r="C41" s="11"/>
      <c r="E41" s="2"/>
      <c r="F41" s="11"/>
      <c r="G41" t="s">
        <v>44</v>
      </c>
      <c r="H41" s="2">
        <v>10</v>
      </c>
      <c r="L41" s="21"/>
      <c r="O41">
        <f>56*200</f>
        <v>11200</v>
      </c>
    </row>
    <row r="42" spans="1:16">
      <c r="A42" s="1">
        <v>138</v>
      </c>
      <c r="B42" s="3">
        <v>5000</v>
      </c>
      <c r="C42" s="11"/>
      <c r="E42" s="2"/>
      <c r="F42" s="11"/>
      <c r="G42" t="s">
        <v>45</v>
      </c>
      <c r="H42" s="2">
        <v>10</v>
      </c>
      <c r="L42" s="21"/>
      <c r="O42">
        <v>74500</v>
      </c>
    </row>
    <row r="43" spans="1:16">
      <c r="A43" s="1">
        <v>139</v>
      </c>
      <c r="B43" s="3">
        <v>2000</v>
      </c>
      <c r="C43" s="11"/>
      <c r="E43" s="2"/>
      <c r="F43" s="11"/>
      <c r="G43" t="s">
        <v>46</v>
      </c>
      <c r="H43" s="2">
        <v>500</v>
      </c>
      <c r="L43" s="21"/>
    </row>
    <row r="44" spans="1:16">
      <c r="A44" s="1">
        <v>140</v>
      </c>
      <c r="B44" s="3">
        <v>1000</v>
      </c>
      <c r="C44" s="11"/>
      <c r="E44" s="2"/>
      <c r="F44" s="11"/>
      <c r="G44" t="s">
        <v>51</v>
      </c>
      <c r="H44" s="2">
        <v>150</v>
      </c>
      <c r="L44" s="21"/>
    </row>
    <row r="45" spans="1:16">
      <c r="A45" s="1">
        <v>141</v>
      </c>
      <c r="B45" s="3">
        <v>2000</v>
      </c>
      <c r="C45" s="11"/>
      <c r="E45" s="2"/>
      <c r="F45" s="11"/>
      <c r="G45" t="s">
        <v>47</v>
      </c>
      <c r="H45" s="2">
        <v>240</v>
      </c>
      <c r="L45" s="21"/>
    </row>
    <row r="46" spans="1:16">
      <c r="A46" s="1">
        <v>142</v>
      </c>
      <c r="B46" s="3">
        <v>4000</v>
      </c>
      <c r="C46" s="11"/>
      <c r="E46" s="2"/>
      <c r="F46" s="11"/>
      <c r="G46" t="s">
        <v>48</v>
      </c>
      <c r="H46" s="2">
        <v>60</v>
      </c>
      <c r="L46" s="21"/>
    </row>
    <row r="47" spans="1:16">
      <c r="A47" s="1">
        <v>143</v>
      </c>
      <c r="B47" s="3">
        <v>6500</v>
      </c>
      <c r="C47" s="11"/>
      <c r="E47" s="2"/>
      <c r="F47" s="11"/>
      <c r="G47" t="s">
        <v>49</v>
      </c>
      <c r="H47" s="2">
        <v>90</v>
      </c>
      <c r="L47" s="21"/>
      <c r="N47">
        <v>500</v>
      </c>
      <c r="O47">
        <v>63000</v>
      </c>
      <c r="P47">
        <v>74500</v>
      </c>
    </row>
    <row r="48" spans="1:16">
      <c r="A48" s="1">
        <v>144</v>
      </c>
      <c r="B48" s="3">
        <v>3000</v>
      </c>
      <c r="C48" s="11"/>
      <c r="E48" s="2"/>
      <c r="F48" s="11"/>
      <c r="G48" t="s">
        <v>50</v>
      </c>
      <c r="H48" s="2">
        <v>198</v>
      </c>
      <c r="L48" s="21"/>
      <c r="N48">
        <v>200</v>
      </c>
      <c r="O48">
        <v>11200</v>
      </c>
      <c r="P48">
        <v>11200</v>
      </c>
    </row>
    <row r="49" spans="1:16">
      <c r="A49" s="1">
        <v>145</v>
      </c>
      <c r="B49" s="3">
        <v>4000</v>
      </c>
      <c r="C49" s="11"/>
      <c r="E49" s="2"/>
      <c r="F49" s="11"/>
      <c r="L49" s="21"/>
      <c r="N49">
        <v>100</v>
      </c>
      <c r="O49">
        <v>9900</v>
      </c>
      <c r="P49">
        <v>9600</v>
      </c>
    </row>
    <row r="50" spans="1:16">
      <c r="A50" s="1">
        <v>146</v>
      </c>
      <c r="B50" s="3">
        <v>4500</v>
      </c>
      <c r="C50" s="11"/>
      <c r="E50" s="2"/>
      <c r="F50" s="11"/>
      <c r="G50" t="s">
        <v>56</v>
      </c>
      <c r="H50" s="2">
        <v>60</v>
      </c>
      <c r="L50" s="21"/>
    </row>
    <row r="51" spans="1:16">
      <c r="A51" s="1">
        <v>147</v>
      </c>
      <c r="B51" s="3">
        <v>3000</v>
      </c>
      <c r="C51" s="11"/>
      <c r="E51" s="2"/>
      <c r="F51" s="11"/>
      <c r="G51" t="s">
        <v>57</v>
      </c>
      <c r="H51" s="2">
        <v>60</v>
      </c>
      <c r="L51" s="21"/>
    </row>
    <row r="52" spans="1:16">
      <c r="A52" s="1">
        <v>148</v>
      </c>
      <c r="B52" s="3">
        <v>5000</v>
      </c>
      <c r="C52" s="11"/>
      <c r="E52" s="2"/>
      <c r="F52" s="11"/>
      <c r="G52" t="s">
        <v>58</v>
      </c>
      <c r="H52" s="2">
        <v>100</v>
      </c>
      <c r="L52" s="21"/>
    </row>
    <row r="53" spans="1:16">
      <c r="A53" s="1">
        <v>149</v>
      </c>
      <c r="B53" s="3">
        <v>4000</v>
      </c>
      <c r="C53" s="11"/>
      <c r="E53" s="2"/>
      <c r="F53" s="11"/>
      <c r="L53" s="21"/>
    </row>
    <row r="54" spans="1:16">
      <c r="A54" s="1">
        <v>150</v>
      </c>
      <c r="B54" s="3">
        <v>5000</v>
      </c>
      <c r="C54" s="11"/>
      <c r="E54" s="2"/>
      <c r="F54" s="11"/>
      <c r="G54" t="s">
        <v>59</v>
      </c>
      <c r="H54" s="2">
        <v>380</v>
      </c>
      <c r="L54" s="21"/>
    </row>
    <row r="55" spans="1:16">
      <c r="A55" s="1">
        <v>151</v>
      </c>
      <c r="B55" s="3">
        <v>4000</v>
      </c>
      <c r="C55" s="11"/>
      <c r="E55" s="2"/>
      <c r="F55" s="11"/>
      <c r="G55" t="s">
        <v>60</v>
      </c>
      <c r="H55" s="2">
        <v>304</v>
      </c>
      <c r="L55" s="21"/>
    </row>
    <row r="56" spans="1:16">
      <c r="A56" s="1">
        <v>152</v>
      </c>
      <c r="B56" s="3">
        <v>5000</v>
      </c>
      <c r="C56" s="11"/>
      <c r="E56" s="2"/>
      <c r="F56" s="11"/>
      <c r="G56" t="s">
        <v>61</v>
      </c>
      <c r="H56" s="2">
        <v>900</v>
      </c>
      <c r="L56" s="21"/>
    </row>
    <row r="57" spans="1:16">
      <c r="A57" s="1">
        <v>153</v>
      </c>
      <c r="B57" s="3">
        <v>12350</v>
      </c>
      <c r="C57" s="11"/>
      <c r="E57" s="2"/>
      <c r="F57" s="11"/>
      <c r="G57" t="s">
        <v>62</v>
      </c>
      <c r="H57" s="2">
        <v>2000</v>
      </c>
      <c r="L57" s="21"/>
    </row>
    <row r="58" spans="1:16">
      <c r="A58" s="1">
        <v>154</v>
      </c>
      <c r="B58" s="3">
        <v>5000</v>
      </c>
      <c r="C58" s="11"/>
      <c r="E58" s="2"/>
      <c r="F58" s="11"/>
      <c r="G58" t="s">
        <v>63</v>
      </c>
      <c r="H58" s="2">
        <v>551</v>
      </c>
      <c r="L58" s="21"/>
    </row>
    <row r="59" spans="1:16">
      <c r="A59" s="1">
        <v>155</v>
      </c>
      <c r="B59" s="3">
        <v>2000</v>
      </c>
      <c r="C59" s="11"/>
      <c r="E59" s="2"/>
      <c r="F59" s="11"/>
      <c r="L59" s="21"/>
    </row>
    <row r="60" spans="1:16">
      <c r="A60" s="1">
        <v>156</v>
      </c>
      <c r="B60" s="3">
        <v>4000</v>
      </c>
      <c r="C60" s="11"/>
      <c r="E60" s="2"/>
      <c r="F60" s="11"/>
      <c r="L60" s="21"/>
    </row>
    <row r="61" spans="1:16">
      <c r="A61" s="1">
        <v>157</v>
      </c>
      <c r="B61" s="3">
        <v>4000</v>
      </c>
      <c r="C61" s="11"/>
      <c r="E61" s="2"/>
      <c r="F61" s="11"/>
      <c r="L61" s="21"/>
    </row>
    <row r="62" spans="1:16">
      <c r="A62" s="1">
        <v>158</v>
      </c>
      <c r="B62" s="3">
        <v>3000</v>
      </c>
      <c r="C62" s="11"/>
      <c r="E62" s="2"/>
      <c r="F62" s="11"/>
      <c r="L62" s="21"/>
    </row>
    <row r="63" spans="1:16">
      <c r="A63" s="1">
        <v>159</v>
      </c>
      <c r="B63" s="3">
        <v>2000</v>
      </c>
      <c r="C63" s="11"/>
      <c r="E63" s="2"/>
      <c r="F63" s="11"/>
      <c r="L63" s="21"/>
    </row>
    <row r="64" spans="1:16">
      <c r="A64" s="1">
        <v>160</v>
      </c>
      <c r="B64" s="3">
        <v>2000</v>
      </c>
      <c r="C64" s="11"/>
      <c r="E64" s="2"/>
      <c r="F64" s="11"/>
      <c r="L64" s="21"/>
    </row>
    <row r="65" spans="1:16">
      <c r="A65" s="24">
        <v>161</v>
      </c>
      <c r="B65" s="3">
        <v>6000</v>
      </c>
      <c r="C65" s="11"/>
      <c r="E65" s="2"/>
      <c r="F65" s="11"/>
      <c r="L65" s="21"/>
    </row>
    <row r="66" spans="1:16">
      <c r="A66" s="1">
        <v>162</v>
      </c>
      <c r="B66" s="3">
        <v>3000</v>
      </c>
      <c r="C66" s="11"/>
      <c r="E66" s="2"/>
      <c r="F66" s="11"/>
      <c r="L66" s="21"/>
    </row>
    <row r="67" spans="1:16">
      <c r="A67" s="1">
        <v>163</v>
      </c>
      <c r="B67" s="3">
        <v>5000</v>
      </c>
      <c r="C67" s="11"/>
      <c r="E67" s="2"/>
      <c r="F67" s="11"/>
      <c r="L67" s="21"/>
      <c r="O67">
        <v>15700</v>
      </c>
    </row>
    <row r="68" spans="1:16">
      <c r="A68" s="1">
        <v>164</v>
      </c>
      <c r="B68" s="3">
        <v>2000</v>
      </c>
      <c r="C68" s="11"/>
      <c r="E68" s="2"/>
      <c r="F68" s="11"/>
      <c r="L68" s="21"/>
      <c r="O68">
        <v>20000</v>
      </c>
    </row>
    <row r="69" spans="1:16">
      <c r="A69" s="1">
        <v>165</v>
      </c>
      <c r="B69" s="3">
        <v>2000</v>
      </c>
      <c r="C69" s="11"/>
      <c r="E69" s="2"/>
      <c r="F69" s="11"/>
      <c r="L69" s="21"/>
      <c r="O69">
        <f>O68-O67</f>
        <v>4300</v>
      </c>
      <c r="P69">
        <v>4500</v>
      </c>
    </row>
    <row r="70" spans="1:16">
      <c r="A70" s="1">
        <v>166</v>
      </c>
      <c r="B70" s="3">
        <v>2000</v>
      </c>
      <c r="C70" s="11"/>
      <c r="E70" s="2"/>
      <c r="F70" s="11"/>
      <c r="L70" s="21"/>
    </row>
    <row r="71" spans="1:16">
      <c r="A71" s="1">
        <v>167</v>
      </c>
      <c r="B71" s="3">
        <v>2000</v>
      </c>
      <c r="C71" s="11"/>
      <c r="E71" s="2"/>
      <c r="F71" s="11"/>
      <c r="L71" s="21"/>
      <c r="P71">
        <v>3300</v>
      </c>
    </row>
    <row r="72" spans="1:16">
      <c r="A72" s="1">
        <v>168</v>
      </c>
      <c r="B72" s="3">
        <v>5000</v>
      </c>
      <c r="C72" s="11"/>
      <c r="E72" s="2"/>
      <c r="F72" s="11"/>
      <c r="L72" s="21"/>
      <c r="P72">
        <v>200</v>
      </c>
    </row>
    <row r="73" spans="1:16">
      <c r="A73" s="1">
        <v>169</v>
      </c>
      <c r="B73" s="3">
        <v>2000</v>
      </c>
      <c r="C73" s="11"/>
      <c r="E73" s="2"/>
      <c r="F73" s="11"/>
      <c r="L73" s="21"/>
      <c r="P73">
        <v>200</v>
      </c>
    </row>
    <row r="74" spans="1:16">
      <c r="A74" s="1">
        <v>170</v>
      </c>
      <c r="B74" s="3">
        <v>10000</v>
      </c>
      <c r="C74" s="11"/>
      <c r="E74" s="2"/>
      <c r="F74" s="11"/>
      <c r="L74" s="21"/>
      <c r="P74">
        <v>80</v>
      </c>
    </row>
    <row r="75" spans="1:16">
      <c r="A75" s="1">
        <v>171</v>
      </c>
      <c r="B75" s="3">
        <v>2500</v>
      </c>
      <c r="C75" s="11"/>
      <c r="E75" s="2"/>
      <c r="F75" s="11"/>
      <c r="L75" s="21"/>
    </row>
    <row r="76" spans="1:16">
      <c r="A76" s="1">
        <v>172</v>
      </c>
      <c r="B76" s="3">
        <v>4000</v>
      </c>
      <c r="C76" s="11"/>
      <c r="E76" s="2"/>
      <c r="F76" s="11"/>
      <c r="L76" s="21"/>
    </row>
    <row r="77" spans="1:16">
      <c r="A77" s="1">
        <v>173</v>
      </c>
      <c r="B77" s="3">
        <v>4000</v>
      </c>
      <c r="C77" s="11"/>
      <c r="E77" s="2"/>
      <c r="F77" s="11"/>
      <c r="L77" s="21"/>
    </row>
    <row r="78" spans="1:16">
      <c r="A78" s="1">
        <v>174</v>
      </c>
      <c r="B78" s="3">
        <v>2000</v>
      </c>
      <c r="C78" s="11"/>
      <c r="E78" s="2"/>
      <c r="F78" s="11"/>
      <c r="K78" t="s">
        <v>43</v>
      </c>
      <c r="L78" s="21"/>
    </row>
    <row r="79" spans="1:16">
      <c r="A79" s="1">
        <v>175</v>
      </c>
      <c r="B79" s="3">
        <v>2000</v>
      </c>
      <c r="C79" s="11"/>
      <c r="E79" s="2"/>
      <c r="F79" s="11"/>
      <c r="K79">
        <v>234723</v>
      </c>
      <c r="L79" s="21"/>
    </row>
    <row r="80" spans="1:16">
      <c r="A80" s="1">
        <v>176</v>
      </c>
      <c r="B80" s="3">
        <v>2000</v>
      </c>
      <c r="C80" s="11"/>
      <c r="E80" s="2"/>
      <c r="F80" s="11"/>
      <c r="K80" s="21">
        <f>K79-H94</f>
        <v>-5611</v>
      </c>
      <c r="L80" s="21"/>
    </row>
    <row r="81" spans="1:16">
      <c r="A81" s="1">
        <v>177</v>
      </c>
      <c r="B81" s="3">
        <v>6500</v>
      </c>
      <c r="C81" s="11"/>
      <c r="E81" s="2"/>
      <c r="F81" s="11"/>
      <c r="K81" s="21"/>
      <c r="L81" s="21"/>
    </row>
    <row r="82" spans="1:16">
      <c r="A82" s="1">
        <v>178</v>
      </c>
      <c r="B82" s="3">
        <v>3000</v>
      </c>
      <c r="C82" s="11"/>
      <c r="E82" s="2"/>
      <c r="F82" s="11"/>
      <c r="L82" s="21"/>
    </row>
    <row r="83" spans="1:16">
      <c r="A83" s="1">
        <v>179</v>
      </c>
      <c r="B83" s="3">
        <v>3000</v>
      </c>
      <c r="C83" s="11"/>
      <c r="E83" s="2"/>
      <c r="F83" s="11"/>
      <c r="L83" s="21"/>
    </row>
    <row r="84" spans="1:16">
      <c r="A84" s="1">
        <v>180</v>
      </c>
      <c r="B84" s="3">
        <v>4000</v>
      </c>
      <c r="C84" s="11"/>
      <c r="E84" s="2"/>
      <c r="F84" s="11"/>
      <c r="L84" s="21"/>
    </row>
    <row r="85" spans="1:16">
      <c r="A85" s="1">
        <v>181</v>
      </c>
      <c r="B85" s="3">
        <v>2000</v>
      </c>
      <c r="C85" s="11"/>
      <c r="E85" s="2"/>
      <c r="F85" s="11"/>
      <c r="L85" s="21"/>
    </row>
    <row r="86" spans="1:16">
      <c r="A86" s="1">
        <v>182</v>
      </c>
      <c r="B86" s="3">
        <v>5000</v>
      </c>
      <c r="C86" s="11"/>
      <c r="E86" s="2"/>
      <c r="F86" s="11"/>
      <c r="L86" s="21"/>
    </row>
    <row r="87" spans="1:16">
      <c r="A87" s="1">
        <v>183</v>
      </c>
      <c r="B87" s="3">
        <v>5000</v>
      </c>
      <c r="C87" s="11"/>
      <c r="E87" s="2"/>
      <c r="F87" s="11"/>
      <c r="L87" s="21"/>
    </row>
    <row r="88" spans="1:16">
      <c r="A88" s="1">
        <v>184</v>
      </c>
      <c r="B88" s="3">
        <v>5000</v>
      </c>
      <c r="C88" s="11"/>
      <c r="E88" s="2"/>
      <c r="F88" s="11"/>
      <c r="L88" s="21"/>
    </row>
    <row r="89" spans="1:16">
      <c r="A89" s="1">
        <v>185</v>
      </c>
      <c r="B89" s="3">
        <v>5000</v>
      </c>
      <c r="C89" s="11"/>
      <c r="E89" s="2"/>
      <c r="F89" s="11"/>
      <c r="L89" s="21"/>
    </row>
    <row r="90" spans="1:16">
      <c r="A90" s="1">
        <v>186</v>
      </c>
      <c r="B90" s="3">
        <v>5000</v>
      </c>
      <c r="C90" s="11"/>
      <c r="E90" s="2"/>
      <c r="F90" s="11"/>
      <c r="L90" s="21"/>
    </row>
    <row r="91" spans="1:16">
      <c r="A91" s="1">
        <v>187</v>
      </c>
      <c r="C91" s="11"/>
      <c r="E91" s="2"/>
      <c r="F91" s="11"/>
      <c r="L91" s="21"/>
    </row>
    <row r="92" spans="1:16">
      <c r="A92" s="1">
        <v>188</v>
      </c>
      <c r="C92" s="11"/>
      <c r="E92" s="2"/>
      <c r="F92" s="11"/>
      <c r="L92" s="21"/>
    </row>
    <row r="93" spans="1:16">
      <c r="A93" s="1">
        <v>189</v>
      </c>
      <c r="C93" s="11"/>
      <c r="E93" s="2"/>
      <c r="F93" s="11"/>
      <c r="L93" s="21"/>
      <c r="P93">
        <v>70</v>
      </c>
    </row>
    <row r="94" spans="1:16">
      <c r="A94" s="14" t="s">
        <v>0</v>
      </c>
      <c r="B94" s="15">
        <f>SUM(B5:B93)</f>
        <v>339750</v>
      </c>
      <c r="C94" s="16"/>
      <c r="D94" s="16" t="s">
        <v>1</v>
      </c>
      <c r="E94" s="17">
        <f>SUM(E5:E93)</f>
        <v>60000</v>
      </c>
      <c r="F94" s="18"/>
      <c r="G94" s="16" t="s">
        <v>4</v>
      </c>
      <c r="H94" s="17">
        <f>SUM(H5:H93)</f>
        <v>240334</v>
      </c>
      <c r="K94" s="21">
        <f>B94-H94</f>
        <v>99416</v>
      </c>
      <c r="P94">
        <v>40</v>
      </c>
    </row>
    <row r="95" spans="1:16">
      <c r="C95" s="11"/>
      <c r="E95" s="2"/>
      <c r="F95" s="11"/>
      <c r="P95">
        <v>70</v>
      </c>
    </row>
    <row r="96" spans="1:16" ht="15.75">
      <c r="A96" s="28" t="s">
        <v>14</v>
      </c>
      <c r="B96" s="28"/>
      <c r="C96" s="28"/>
      <c r="D96" s="28"/>
      <c r="E96" s="19">
        <f>B94-H94</f>
        <v>99416</v>
      </c>
      <c r="F96" s="20"/>
      <c r="G96" s="20"/>
      <c r="H96" s="26"/>
      <c r="L96" s="21"/>
      <c r="P96">
        <v>20</v>
      </c>
    </row>
    <row r="97" spans="7:16">
      <c r="P97">
        <v>80</v>
      </c>
    </row>
    <row r="99" spans="7:16">
      <c r="G99" s="21"/>
    </row>
    <row r="100" spans="7:16">
      <c r="G100" s="21">
        <f>E94-E96</f>
        <v>-39416</v>
      </c>
    </row>
    <row r="101" spans="7:16">
      <c r="J101">
        <v>5000</v>
      </c>
      <c r="K101" t="s">
        <v>52</v>
      </c>
    </row>
    <row r="102" spans="7:16">
      <c r="J102">
        <v>3000</v>
      </c>
      <c r="K102" t="s">
        <v>53</v>
      </c>
    </row>
    <row r="103" spans="7:16">
      <c r="J103">
        <v>6000</v>
      </c>
      <c r="K103" t="s">
        <v>54</v>
      </c>
    </row>
    <row r="104" spans="7:16">
      <c r="J104">
        <v>4000</v>
      </c>
      <c r="K104" t="s">
        <v>55</v>
      </c>
    </row>
  </sheetData>
  <mergeCells count="3">
    <mergeCell ref="A1:H1"/>
    <mergeCell ref="A96:D96"/>
    <mergeCell ref="D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PSMSOFTTECH</dc:creator>
  <cp:lastModifiedBy>PSMSOFTTECH</cp:lastModifiedBy>
  <cp:lastPrinted>2026-06-14T15:20:43Z</cp:lastPrinted>
  <dcterms:created xsi:type="dcterms:W3CDTF">2026-06-11T08:38:59Z</dcterms:created>
  <dcterms:modified xsi:type="dcterms:W3CDTF">2026-09-12T11:04:49Z</dcterms:modified>
</cp:coreProperties>
</file>